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Profiles" sheetId="2" state="visible" r:id="rId2"/>
    <sheet xmlns:r="http://schemas.openxmlformats.org/officeDocument/2006/relationships" name="Answer_Key" sheetId="3" state="visible" r:id="rId3"/>
    <sheet xmlns:r="http://schemas.openxmlformats.org/officeDocument/2006/relationships" name="Checks" sheetId="4" state="visible" r:id="rId4"/>
    <sheet xmlns:r="http://schemas.openxmlformats.org/officeDocument/2006/relationships" name="Promp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A5E3A"/>
      <sz val="14"/>
    </font>
  </fonts>
  <fills count="4">
    <fill>
      <patternFill/>
    </fill>
    <fill>
      <patternFill patternType="gray125"/>
    </fill>
    <fill>
      <patternFill patternType="solid">
        <fgColor rgb="00E3F1E8"/>
      </patternFill>
    </fill>
    <fill>
      <patternFill patternType="solid">
        <fgColor rgb="001A5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Orchid Bay Talent Partners — Candidate Profiles</t>
        </is>
      </c>
    </row>
    <row r="2" ht="46" customHeight="1">
      <c r="A2" s="2" t="inlineStr">
        <is>
          <t>All organisations, people, IDs and values in this workbook are FICTIONAL training data created for the Gemini for Google Sheet course (C817). Any resemblance to a real company or person is coincidental. Email addresses use the reserved example.com domain.</t>
        </is>
      </c>
    </row>
    <row r="3" ht="46" customHeight="1">
      <c r="A3" s="2" t="inlineStr">
        <is>
          <t>30 candidates from the active Q3 2026 shortlist, with the free-text summary from their application and the panel's interview or phone-screen feedback. In Lab 6 you extract and categorise this text with the AI function (=AI) and Fill with Gemini. Answer_Key holds the recorded values so you can measure how accurate the AI output is - never put it in an =AI prompt; compare against it only after you have generated your answers.</t>
        </is>
      </c>
    </row>
    <row r="4" ht="46" customHeight="1">
      <c r="A4" s="2" t="inlineStr">
        <is>
          <t>Open in Google Sheets: upload this .xlsx to Google Drive, open it, then File &gt; Save as Google Sheets. Gemini works best on a native Google Sheets file.</t>
        </is>
      </c>
    </row>
    <row r="6">
      <c r="A6" s="3" t="inlineStr">
        <is>
          <t>Sheet / Column</t>
        </is>
      </c>
      <c r="B6" s="3" t="inlineStr">
        <is>
          <t>Type</t>
        </is>
      </c>
      <c r="C6" s="3" t="inlineStr">
        <is>
          <t>Meaning</t>
        </is>
      </c>
    </row>
    <row r="7">
      <c r="A7" t="inlineStr">
        <is>
          <t>Candidate_Summary</t>
        </is>
      </c>
      <c r="B7" t="inlineStr">
        <is>
          <t>Text</t>
        </is>
      </c>
      <c r="C7" s="4" t="inlineStr">
        <is>
          <t>Free text: experience, skills, education and notice period.</t>
        </is>
      </c>
    </row>
    <row r="8">
      <c r="A8" t="inlineStr">
        <is>
          <t>Interview_Feedback</t>
        </is>
      </c>
      <c r="B8" t="inlineStr">
        <is>
          <t>Text</t>
        </is>
      </c>
      <c r="C8" s="4" t="inlineStr">
        <is>
          <t>Free text from the interview panel or phone screen.</t>
        </is>
      </c>
    </row>
    <row r="9">
      <c r="A9" t="inlineStr">
        <is>
          <t>Notice_Weeks_AI</t>
        </is>
      </c>
      <c r="B9" t="inlineStr">
        <is>
          <t>Empty</t>
        </is>
      </c>
      <c r="C9" s="4" t="inlineStr">
        <is>
          <t>You fill this with =AI: notice period in weeks.</t>
        </is>
      </c>
    </row>
    <row r="10">
      <c r="A10" t="inlineStr">
        <is>
          <t>Feedback_Sentiment_AI</t>
        </is>
      </c>
      <c r="B10" t="inlineStr">
        <is>
          <t>Empty</t>
        </is>
      </c>
      <c r="C10" s="4" t="inlineStr">
        <is>
          <t>You fill this with =AI: Positive, Mixed or Negative.</t>
        </is>
      </c>
    </row>
    <row r="11">
      <c r="A11" t="inlineStr">
        <is>
          <t>Manager_Summary_AI</t>
        </is>
      </c>
      <c r="B11" t="inlineStr">
        <is>
          <t>Empty</t>
        </is>
      </c>
      <c r="C11" s="4" t="inlineStr">
        <is>
          <t>You fill this with =AI: one-sentence summary for the hiring manager.</t>
        </is>
      </c>
    </row>
    <row r="12">
      <c r="A12" t="inlineStr">
        <is>
          <t>Answer_Key (sheet)</t>
        </is>
      </c>
      <c r="B12" t="inlineStr">
        <is>
          <t>—</t>
        </is>
      </c>
      <c r="C12" s="4" t="inlineStr">
        <is>
          <t>Recorded notice weeks and feedback sentiment, for checking only.</t>
        </is>
      </c>
    </row>
  </sheetData>
  <mergeCells count="3">
    <mergeCell ref="A4:C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60" customWidth="1" min="4" max="4"/>
    <col width="55" customWidth="1" min="5" max="5"/>
    <col width="19" customWidth="1" min="6" max="6"/>
    <col width="22" customWidth="1" min="7" max="7"/>
    <col width="50" customWidth="1" min="8" max="8"/>
  </cols>
  <sheetData>
    <row r="1">
      <c r="A1" s="5" t="inlineStr">
        <is>
          <t>Candidate_ID</t>
        </is>
      </c>
      <c r="B1" s="5" t="inlineStr">
        <is>
          <t>Full_Name</t>
        </is>
      </c>
      <c r="C1" s="5" t="inlineStr">
        <is>
          <t>Position</t>
        </is>
      </c>
      <c r="D1" s="5" t="inlineStr">
        <is>
          <t>Candidate_Summary</t>
        </is>
      </c>
      <c r="E1" s="5" t="inlineStr">
        <is>
          <t>Interview_Feedback</t>
        </is>
      </c>
      <c r="F1" s="5" t="inlineStr">
        <is>
          <t>Notice_Weeks_AI</t>
        </is>
      </c>
      <c r="G1" s="5" t="inlineStr">
        <is>
          <t>Feedback_Sentiment_AI</t>
        </is>
      </c>
      <c r="H1" s="5" t="inlineStr">
        <is>
          <t>Manager_Summary_AI</t>
        </is>
      </c>
    </row>
    <row r="2">
      <c r="A2" t="inlineStr">
        <is>
          <t>CAN-26495</t>
        </is>
      </c>
      <c r="B2" t="inlineStr">
        <is>
          <t>Gabriel Sim</t>
        </is>
      </c>
      <c r="C2" t="inlineStr">
        <is>
          <t>Account Manager</t>
        </is>
      </c>
      <c r="D2" s="2" t="inlineStr">
        <is>
          <t>11 years in B2B account management; skilled in CRM, Negotiation, Stakeholder Management. Holds a diploma. Candidate can start right away.</t>
        </is>
      </c>
      <c r="E2" s="2" t="inlineStr">
        <is>
          <t>Solid background, but answers on B2B Sales lacked depth. Consider a second interview.</t>
        </is>
      </c>
    </row>
    <row r="3">
      <c r="A3" t="inlineStr">
        <is>
          <t>CAN-26501</t>
        </is>
      </c>
      <c r="B3" t="inlineStr">
        <is>
          <t>Yi Ting Chua</t>
        </is>
      </c>
      <c r="C3" t="inlineStr">
        <is>
          <t>Data Analyst</t>
        </is>
      </c>
      <c r="D3" s="2" t="inlineStr">
        <is>
          <t>8 years in data and reporting; skilled in Excel, Tableau, Communication, SQL. Holds a professional certificate. Applicant has a 3-month notice period.</t>
        </is>
      </c>
      <c r="E3" s="2" t="inlineStr">
        <is>
          <t>Strong Tableau skills and clear, structured answers. The panel recommends the next round.</t>
        </is>
      </c>
    </row>
    <row r="4">
      <c r="A4" t="inlineStr">
        <is>
          <t>CAN-26515</t>
        </is>
      </c>
      <c r="B4" t="inlineStr">
        <is>
          <t>Felicia Krishnan</t>
        </is>
      </c>
      <c r="C4" t="inlineStr">
        <is>
          <t>Data Analyst</t>
        </is>
      </c>
      <c r="D4" s="2" t="inlineStr">
        <is>
          <t>9 years in data and reporting; skilled in Power BI, SQL. Holds a diploma. Applicant needs two weeks' notice.</t>
        </is>
      </c>
      <c r="E4" s="2" t="inlineStr">
        <is>
          <t>Answers were vague and lacked examples. Do not proceed.</t>
        </is>
      </c>
    </row>
    <row r="5">
      <c r="A5" t="inlineStr">
        <is>
          <t>CAN-26527</t>
        </is>
      </c>
      <c r="B5" t="inlineStr">
        <is>
          <t>Aaliyah Koh</t>
        </is>
      </c>
      <c r="C5" t="inlineStr">
        <is>
          <t>Data Analyst</t>
        </is>
      </c>
      <c r="D5" s="2" t="inlineStr">
        <is>
          <t>4 years in data and reporting; skilled in Communication, Customer Service, Tableau, Excel, SQL. Holds a diploma. Candidate has a 3-month notice period.</t>
        </is>
      </c>
      <c r="E5" s="2" t="inlineStr">
        <is>
          <t>Communicates well, though hands-on Tableau experience is limited. The panel was split.</t>
        </is>
      </c>
    </row>
    <row r="6">
      <c r="A6" t="inlineStr">
        <is>
          <t>CAN-26541</t>
        </is>
      </c>
      <c r="B6" t="inlineStr">
        <is>
          <t>Dinesh Wong</t>
        </is>
      </c>
      <c r="C6" t="inlineStr">
        <is>
          <t>Account Manager</t>
        </is>
      </c>
      <c r="D6" s="2" t="inlineStr">
        <is>
          <t>12 years in B2B account management; skilled in CRM, B2B Sales, Negotiation, Stakeholder Management. Holds a diploma. Applicant has a 2-week notice period.</t>
        </is>
      </c>
      <c r="E6" s="2" t="inlineStr">
        <is>
          <t>Impressive examples from past projects and a good team fit. Would hire.</t>
        </is>
      </c>
    </row>
    <row r="7">
      <c r="A7" t="inlineStr">
        <is>
          <t>CAN-26548</t>
        </is>
      </c>
      <c r="B7" t="inlineStr">
        <is>
          <t>Priya Quek</t>
        </is>
      </c>
      <c r="C7" t="inlineStr">
        <is>
          <t>Payroll Specialist</t>
        </is>
      </c>
      <c r="D7" s="2" t="inlineStr">
        <is>
          <t>9 years in payroll; skilled in Excel, CPF, Power BI, Presentation, Payroll. Holds a diploma. Candidate needs one month's notice.</t>
        </is>
      </c>
      <c r="E7" s="2" t="inlineStr">
        <is>
          <t>Impressive examples from past projects and a good team fit. Would hire.</t>
        </is>
      </c>
    </row>
    <row r="8">
      <c r="A8" t="inlineStr">
        <is>
          <t>CAN-26552</t>
        </is>
      </c>
      <c r="B8" t="inlineStr">
        <is>
          <t>Bryan Lee</t>
        </is>
      </c>
      <c r="C8" t="inlineStr">
        <is>
          <t>Operations Supervisor</t>
        </is>
      </c>
      <c r="D8" s="2" t="inlineStr">
        <is>
          <t>9 years in warehouse operations; skilled in Team Leadership, Warehouse, Presentation, Google Workspace. Holds a bachelor's degree. Candidate has an 8-week notice period.</t>
        </is>
      </c>
      <c r="E8" s="2" t="inlineStr">
        <is>
          <t>Communicates well, though hands-on Lean experience is limited. The panel was split.</t>
        </is>
      </c>
    </row>
    <row r="9">
      <c r="A9" t="inlineStr">
        <is>
          <t>CAN-26567</t>
        </is>
      </c>
      <c r="B9" t="inlineStr">
        <is>
          <t>Jia Hui Yusof</t>
        </is>
      </c>
      <c r="C9" t="inlineStr">
        <is>
          <t>Data Analyst</t>
        </is>
      </c>
      <c r="D9" s="2" t="inlineStr">
        <is>
          <t>9 years in data and reporting; skilled in Tableau, SQL, Communication, Power BI, Excel. Holds a diploma. Candidate can start right away.</t>
        </is>
      </c>
      <c r="E9" s="2" t="inlineStr">
        <is>
          <t>Confident, well prepared and solved the Excel case quickly. Clear yes from the panel.</t>
        </is>
      </c>
    </row>
    <row r="10">
      <c r="A10" t="inlineStr">
        <is>
          <t>CAN-26571</t>
        </is>
      </c>
      <c r="B10" t="inlineStr">
        <is>
          <t>Sharmila Nair</t>
        </is>
      </c>
      <c r="C10" t="inlineStr">
        <is>
          <t>HR Executive</t>
        </is>
      </c>
      <c r="D10" s="2" t="inlineStr">
        <is>
          <t>9 years in HR operations; skilled in Communication, Employment Act, HRIS, Recruitment. Holds a bachelor's degree. Candidate has a 2-week notice period.</t>
        </is>
      </c>
      <c r="E10" s="2" t="inlineStr">
        <is>
          <t>Good HRIS knowledge but struggled with the case question. Possible fit with coaching.</t>
        </is>
      </c>
    </row>
    <row r="11">
      <c r="A11" t="inlineStr">
        <is>
          <t>CAN-26572</t>
        </is>
      </c>
      <c r="B11" t="inlineStr">
        <is>
          <t>Marcus Abdullah</t>
        </is>
      </c>
      <c r="C11" t="inlineStr">
        <is>
          <t>Customer Success Executive</t>
        </is>
      </c>
      <c r="D11" s="2" t="inlineStr">
        <is>
          <t>6 years in customer support; skilled in Communication, CRM, Power BI, SaaS. Holds a diploma. Applicant needs four weeks' notice.</t>
        </is>
      </c>
      <c r="E11" s="2" t="inlineStr">
        <is>
          <t>Confident, well prepared and solved the SaaS case quickly. Clear yes from the panel.</t>
        </is>
      </c>
    </row>
    <row r="12">
      <c r="A12" t="inlineStr">
        <is>
          <t>CAN-26575</t>
        </is>
      </c>
      <c r="B12" t="inlineStr">
        <is>
          <t>Haziq Toh</t>
        </is>
      </c>
      <c r="C12" t="inlineStr">
        <is>
          <t>Customer Success Executive</t>
        </is>
      </c>
      <c r="D12" s="2" t="inlineStr">
        <is>
          <t>6 years in customer support; skilled in Communication, Project Management, SaaS, Customer Service. Holds a bachelor's degree. Candidate needs two weeks' notice.</t>
        </is>
      </c>
      <c r="E12" s="2" t="inlineStr">
        <is>
          <t>Communicates well, though hands-on CRM experience is limited. The panel was split.</t>
        </is>
      </c>
    </row>
    <row r="13">
      <c r="A13" t="inlineStr">
        <is>
          <t>CAN-26577</t>
        </is>
      </c>
      <c r="B13" t="inlineStr">
        <is>
          <t>Priya Chong</t>
        </is>
      </c>
      <c r="C13" t="inlineStr">
        <is>
          <t>Software Engineer</t>
        </is>
      </c>
      <c r="D13" s="2" t="inlineStr">
        <is>
          <t>2 years in software development; skilled in Customer Service, Python, JavaScript, Cloud, Problem Solving. Holds a professional certificate. Candidate needs four weeks' notice.</t>
        </is>
      </c>
      <c r="E13" s="2" t="inlineStr">
        <is>
          <t>Communicates well, though hands-on JavaScript experience is limited. The panel was split.</t>
        </is>
      </c>
    </row>
    <row r="14">
      <c r="A14" t="inlineStr">
        <is>
          <t>CAN-26579</t>
        </is>
      </c>
      <c r="B14" t="inlineStr">
        <is>
          <t>Vanessa Ismail</t>
        </is>
      </c>
      <c r="C14" t="inlineStr">
        <is>
          <t>Finance Associate</t>
        </is>
      </c>
      <c r="D14" s="2" t="inlineStr">
        <is>
          <t>7 years in finance and accounts; skilled in Customer Service, Reconciliation, Excel. Holds a bachelor's degree. Applicant has a 2-week notice period.</t>
        </is>
      </c>
      <c r="E14" s="2" t="inlineStr">
        <is>
          <t>Communicates well, though hands-on Reconciliation experience is limited. The panel was split.</t>
        </is>
      </c>
    </row>
    <row r="15">
      <c r="A15" t="inlineStr">
        <is>
          <t>CAN-26582</t>
        </is>
      </c>
      <c r="B15" t="inlineStr">
        <is>
          <t>Yi Ting Salleh</t>
        </is>
      </c>
      <c r="C15" t="inlineStr">
        <is>
          <t>Data Analyst</t>
        </is>
      </c>
      <c r="D15" s="2" t="inlineStr">
        <is>
          <t>1 year in data and reporting; skilled in Excel, SQL, Data Entry, Tableau. Holds a bachelor's degree. Candidate needs three months' notice.</t>
        </is>
      </c>
      <c r="E15" s="2" t="inlineStr">
        <is>
          <t>Communicates well, though hands-on SQL experience is limited. The panel was split.</t>
        </is>
      </c>
    </row>
    <row r="16">
      <c r="A16" t="inlineStr">
        <is>
          <t>CAN-26588</t>
        </is>
      </c>
      <c r="B16" t="inlineStr">
        <is>
          <t>Benjamin Ismail</t>
        </is>
      </c>
      <c r="C16" t="inlineStr">
        <is>
          <t>HR Executive</t>
        </is>
      </c>
      <c r="D16" s="2" t="inlineStr">
        <is>
          <t>5 years in HR operations; skilled in Employment Act, Data Entry, HRIS, Google Workspace, Recruitment. Holds a diploma. Candidate needs four weeks' notice.</t>
        </is>
      </c>
      <c r="E16" s="2" t="inlineStr">
        <is>
          <t>Confident, well prepared and solved the Employment Act case quickly. Clear yes from the panel.</t>
        </is>
      </c>
    </row>
    <row r="17">
      <c r="A17" t="inlineStr">
        <is>
          <t>CAN-26589</t>
        </is>
      </c>
      <c r="B17" t="inlineStr">
        <is>
          <t>Xavier Foo</t>
        </is>
      </c>
      <c r="C17" t="inlineStr">
        <is>
          <t>Software Engineer</t>
        </is>
      </c>
      <c r="D17" s="2" t="inlineStr">
        <is>
          <t>9 years in software development; skilled in JavaScript, Python, Stakeholder Management, Project Management. Holds a diploma. Applicant has a 1-month notice period.</t>
        </is>
      </c>
      <c r="E17" s="2" t="inlineStr">
        <is>
          <t>Solid background, but answers on Cloud lacked depth. Consider a second interview.</t>
        </is>
      </c>
    </row>
    <row r="18">
      <c r="A18" t="inlineStr">
        <is>
          <t>CAN-26591</t>
        </is>
      </c>
      <c r="B18" t="inlineStr">
        <is>
          <t>Zara Aziz</t>
        </is>
      </c>
      <c r="C18" t="inlineStr">
        <is>
          <t>HR Executive</t>
        </is>
      </c>
      <c r="D18" s="2" t="inlineStr">
        <is>
          <t>5 years in HR operations; skilled in Employment Act, Presentation, HRIS, Communication. Holds a diploma. Applicant needs one week's notice.</t>
        </is>
      </c>
      <c r="E18" s="2" t="inlineStr">
        <is>
          <t>Good Recruitment knowledge but struggled with the case question. Possible fit with coaching.</t>
        </is>
      </c>
    </row>
    <row r="19">
      <c r="A19" t="inlineStr">
        <is>
          <t>CAN-26594</t>
        </is>
      </c>
      <c r="B19" t="inlineStr">
        <is>
          <t>Joanne Goh</t>
        </is>
      </c>
      <c r="C19" t="inlineStr">
        <is>
          <t>Payroll Specialist</t>
        </is>
      </c>
      <c r="D19" s="2" t="inlineStr">
        <is>
          <t>8 years in payroll; skilled in Project Management, Payroll, CPF, Power BI. Holds a professional certificate. Applicant needs two weeks' notice.</t>
        </is>
      </c>
      <c r="E19" s="2" t="inlineStr">
        <is>
          <t>Weak on CPF and unclear about the role. The panel does not support an offer.</t>
        </is>
      </c>
    </row>
    <row r="20">
      <c r="A20" t="inlineStr">
        <is>
          <t>CAN-26596</t>
        </is>
      </c>
      <c r="B20" t="inlineStr">
        <is>
          <t>Zhi Wei Pillai</t>
        </is>
      </c>
      <c r="C20" t="inlineStr">
        <is>
          <t>Operations Supervisor</t>
        </is>
      </c>
      <c r="D20" s="2" t="inlineStr">
        <is>
          <t>6 years in warehouse operations; skilled in Warehouse, Presentation, Team Leadership, Lean. Holds a bachelor's degree. Candidate has a 1-month notice period.</t>
        </is>
      </c>
      <c r="E20" s="2" t="inlineStr">
        <is>
          <t>Impressive examples from past projects and a good team fit. Would hire.</t>
        </is>
      </c>
    </row>
    <row r="21">
      <c r="A21" t="inlineStr">
        <is>
          <t>CAN-26598</t>
        </is>
      </c>
      <c r="B21" t="inlineStr">
        <is>
          <t>Hakim Yeo</t>
        </is>
      </c>
      <c r="C21" t="inlineStr">
        <is>
          <t>HR Executive</t>
        </is>
      </c>
      <c r="D21" s="2" t="inlineStr">
        <is>
          <t>10 years in HR operations; skilled in Stakeholder Management, Employment Act, Recruitment. Holds a bachelor's degree. Applicant needs one month's notice.</t>
        </is>
      </c>
      <c r="E21" s="2" t="inlineStr">
        <is>
          <t>Answers were vague and lacked examples. Do not proceed.</t>
        </is>
      </c>
    </row>
    <row r="22">
      <c r="A22" t="inlineStr">
        <is>
          <t>CAN-26608</t>
        </is>
      </c>
      <c r="B22" t="inlineStr">
        <is>
          <t>Hidayah Rahman</t>
        </is>
      </c>
      <c r="C22" t="inlineStr">
        <is>
          <t>Data Analyst</t>
        </is>
      </c>
      <c r="D22" s="2" t="inlineStr">
        <is>
          <t>10 years in data and reporting; skilled in Tableau, SQL, Power BI, Excel. Holds a diploma. Applicant needs four weeks' notice.</t>
        </is>
      </c>
      <c r="E22" s="2" t="inlineStr">
        <is>
          <t>Confident, well prepared and solved the Tableau case quickly. Clear yes from the panel.</t>
        </is>
      </c>
    </row>
    <row r="23">
      <c r="A23" t="inlineStr">
        <is>
          <t>CAN-26609</t>
        </is>
      </c>
      <c r="B23" t="inlineStr">
        <is>
          <t>Terence Yusof</t>
        </is>
      </c>
      <c r="C23" t="inlineStr">
        <is>
          <t>Operations Supervisor</t>
        </is>
      </c>
      <c r="D23" s="2" t="inlineStr">
        <is>
          <t>5 years in warehouse operations; skilled in Warehouse, Lean, Team Leadership, Presentation. Holds a professional certificate. Candidate needs one month's notice.</t>
        </is>
      </c>
      <c r="E23" s="2" t="inlineStr">
        <is>
          <t>Could not explain basic Warehouse concepts and arrived late. Not recommended.</t>
        </is>
      </c>
    </row>
    <row r="24">
      <c r="A24" t="inlineStr">
        <is>
          <t>CAN-26611</t>
        </is>
      </c>
      <c r="B24" t="inlineStr">
        <is>
          <t>Chloe Seah</t>
        </is>
      </c>
      <c r="C24" t="inlineStr">
        <is>
          <t>Payroll Specialist</t>
        </is>
      </c>
      <c r="D24" s="2" t="inlineStr">
        <is>
          <t>11 years in payroll; skilled in Payroll, Customer Service, CPF, Excel. Holds a bachelor's degree. Applicant needs one week's notice.</t>
        </is>
      </c>
      <c r="E24" s="2" t="inlineStr">
        <is>
          <t>Impressive examples from past projects and a good team fit. Would hire.</t>
        </is>
      </c>
    </row>
    <row r="25">
      <c r="A25" t="inlineStr">
        <is>
          <t>CAN-26618</t>
        </is>
      </c>
      <c r="B25" t="inlineStr">
        <is>
          <t>Zhi Wei Leong</t>
        </is>
      </c>
      <c r="C25" t="inlineStr">
        <is>
          <t>Customer Success Executive</t>
        </is>
      </c>
      <c r="D25" s="2" t="inlineStr">
        <is>
          <t>3 years in customer support; skilled in SaaS, CRM, Presentation, Communication, Google Workspace. Holds a bachelor's degree. Applicant needs three months' notice.</t>
        </is>
      </c>
      <c r="E25" s="2" t="inlineStr">
        <is>
          <t>Communicates well, though hands-on SaaS experience is limited. The panel was split.</t>
        </is>
      </c>
    </row>
    <row r="26">
      <c r="A26" t="inlineStr">
        <is>
          <t>CAN-26621</t>
        </is>
      </c>
      <c r="B26" t="inlineStr">
        <is>
          <t>Sabrina Seah</t>
        </is>
      </c>
      <c r="C26" t="inlineStr">
        <is>
          <t>Finance Associate</t>
        </is>
      </c>
      <c r="D26" s="2" t="inlineStr">
        <is>
          <t>6 years in finance and accounts; skilled in Customer Service, Accounting, Excel. Holds a diploma. Applicant needs four weeks' notice.</t>
        </is>
      </c>
      <c r="E26" s="2" t="inlineStr">
        <is>
          <t>Good Accounting knowledge but struggled with the case question. Possible fit with coaching.</t>
        </is>
      </c>
    </row>
    <row r="27">
      <c r="A27" t="inlineStr">
        <is>
          <t>CAN-26622</t>
        </is>
      </c>
      <c r="B27" t="inlineStr">
        <is>
          <t>Irfan Ismail</t>
        </is>
      </c>
      <c r="C27" t="inlineStr">
        <is>
          <t>Software Engineer</t>
        </is>
      </c>
      <c r="D27" s="2" t="inlineStr">
        <is>
          <t>11 years in software development; skilled in Python, Data Entry, Cloud. Holds a bachelor's degree. Applicant has an 8-week notice period.</t>
        </is>
      </c>
      <c r="E27" s="2" t="inlineStr">
        <is>
          <t>Good Cloud knowledge but struggled with the case question. Possible fit with coaching.</t>
        </is>
      </c>
    </row>
    <row r="28">
      <c r="A28" t="inlineStr">
        <is>
          <t>CAN-26624</t>
        </is>
      </c>
      <c r="B28" t="inlineStr">
        <is>
          <t>Felicia Toh</t>
        </is>
      </c>
      <c r="C28" t="inlineStr">
        <is>
          <t>HR Executive</t>
        </is>
      </c>
      <c r="D28" s="2" t="inlineStr">
        <is>
          <t>5 years in HR operations; skilled in Employment Act, Excel, HRIS. Holds a diploma. Applicant needs two months' notice.</t>
        </is>
      </c>
      <c r="E28" s="2" t="inlineStr">
        <is>
          <t>Good Recruitment knowledge but struggled with the case question. Possible fit with coaching.</t>
        </is>
      </c>
    </row>
    <row r="29">
      <c r="A29" t="inlineStr">
        <is>
          <t>CAN-26627</t>
        </is>
      </c>
      <c r="B29" t="inlineStr">
        <is>
          <t>Hui Min Yeo</t>
        </is>
      </c>
      <c r="C29" t="inlineStr">
        <is>
          <t>Software Engineer</t>
        </is>
      </c>
      <c r="D29" s="2" t="inlineStr">
        <is>
          <t>7 years in software development; skilled in JavaScript, Python, Google Workspace, Data Entry, Cloud. Holds a professional certificate. Applicant needs one month's notice.</t>
        </is>
      </c>
      <c r="E29" s="2" t="inlineStr">
        <is>
          <t>Solid background, but answers on JavaScript lacked depth. Consider a second interview.</t>
        </is>
      </c>
    </row>
    <row r="30">
      <c r="A30" t="inlineStr">
        <is>
          <t>CAN-26628</t>
        </is>
      </c>
      <c r="B30" t="inlineStr">
        <is>
          <t>Bryan Tan</t>
        </is>
      </c>
      <c r="C30" t="inlineStr">
        <is>
          <t>Software Engineer</t>
        </is>
      </c>
      <c r="D30" s="2" t="inlineStr">
        <is>
          <t>9 years in software development; skilled in Cloud, JavaScript, Stakeholder Management. Holds a bachelor's degree. Candidate needs one month's notice.</t>
        </is>
      </c>
      <c r="E30" s="2" t="inlineStr">
        <is>
          <t>Weak on Cloud and unclear about the role. The panel does not support an offer.</t>
        </is>
      </c>
    </row>
    <row r="31">
      <c r="A31" t="inlineStr">
        <is>
          <t>CAN-26633</t>
        </is>
      </c>
      <c r="B31" t="inlineStr">
        <is>
          <t>Clement Yeo</t>
        </is>
      </c>
      <c r="C31" t="inlineStr">
        <is>
          <t>Finance Associate</t>
        </is>
      </c>
      <c r="D31" s="2" t="inlineStr">
        <is>
          <t>0 years in finance and accounts; skilled in Problem Solving, Accounting, Excel. Holds a diploma. Applicant has a 3-month notice period.</t>
        </is>
      </c>
      <c r="E31" s="2" t="inlineStr">
        <is>
          <t>Communicates well, though hands-on Excel experience is limited. The panel was split.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</cols>
  <sheetData>
    <row r="1">
      <c r="A1" s="5" t="inlineStr">
        <is>
          <t>Candidate_ID</t>
        </is>
      </c>
      <c r="B1" s="5" t="inlineStr">
        <is>
          <t>Notice_Weeks</t>
        </is>
      </c>
      <c r="C1" s="5" t="inlineStr">
        <is>
          <t>Feedback_Sentiment</t>
        </is>
      </c>
    </row>
    <row r="2">
      <c r="A2" t="inlineStr">
        <is>
          <t>CAN-26495</t>
        </is>
      </c>
      <c r="B2" t="n">
        <v>0</v>
      </c>
      <c r="C2" t="inlineStr">
        <is>
          <t>Mixed</t>
        </is>
      </c>
    </row>
    <row r="3">
      <c r="A3" t="inlineStr">
        <is>
          <t>CAN-26501</t>
        </is>
      </c>
      <c r="B3" t="n">
        <v>12</v>
      </c>
      <c r="C3" t="inlineStr">
        <is>
          <t>Positive</t>
        </is>
      </c>
    </row>
    <row r="4">
      <c r="A4" t="inlineStr">
        <is>
          <t>CAN-26515</t>
        </is>
      </c>
      <c r="B4" t="n">
        <v>2</v>
      </c>
      <c r="C4" t="inlineStr">
        <is>
          <t>Negative</t>
        </is>
      </c>
    </row>
    <row r="5">
      <c r="A5" t="inlineStr">
        <is>
          <t>CAN-26527</t>
        </is>
      </c>
      <c r="B5" t="n">
        <v>12</v>
      </c>
      <c r="C5" t="inlineStr">
        <is>
          <t>Mixed</t>
        </is>
      </c>
    </row>
    <row r="6">
      <c r="A6" t="inlineStr">
        <is>
          <t>CAN-26541</t>
        </is>
      </c>
      <c r="B6" t="n">
        <v>2</v>
      </c>
      <c r="C6" t="inlineStr">
        <is>
          <t>Positive</t>
        </is>
      </c>
    </row>
    <row r="7">
      <c r="A7" t="inlineStr">
        <is>
          <t>CAN-26548</t>
        </is>
      </c>
      <c r="B7" t="n">
        <v>4</v>
      </c>
      <c r="C7" t="inlineStr">
        <is>
          <t>Positive</t>
        </is>
      </c>
    </row>
    <row r="8">
      <c r="A8" t="inlineStr">
        <is>
          <t>CAN-26552</t>
        </is>
      </c>
      <c r="B8" t="n">
        <v>8</v>
      </c>
      <c r="C8" t="inlineStr">
        <is>
          <t>Mixed</t>
        </is>
      </c>
    </row>
    <row r="9">
      <c r="A9" t="inlineStr">
        <is>
          <t>CAN-26567</t>
        </is>
      </c>
      <c r="B9" t="n">
        <v>0</v>
      </c>
      <c r="C9" t="inlineStr">
        <is>
          <t>Positive</t>
        </is>
      </c>
    </row>
    <row r="10">
      <c r="A10" t="inlineStr">
        <is>
          <t>CAN-26571</t>
        </is>
      </c>
      <c r="B10" t="n">
        <v>2</v>
      </c>
      <c r="C10" t="inlineStr">
        <is>
          <t>Mixed</t>
        </is>
      </c>
    </row>
    <row r="11">
      <c r="A11" t="inlineStr">
        <is>
          <t>CAN-26572</t>
        </is>
      </c>
      <c r="B11" t="n">
        <v>4</v>
      </c>
      <c r="C11" t="inlineStr">
        <is>
          <t>Positive</t>
        </is>
      </c>
    </row>
    <row r="12">
      <c r="A12" t="inlineStr">
        <is>
          <t>CAN-26575</t>
        </is>
      </c>
      <c r="B12" t="n">
        <v>2</v>
      </c>
      <c r="C12" t="inlineStr">
        <is>
          <t>Mixed</t>
        </is>
      </c>
    </row>
    <row r="13">
      <c r="A13" t="inlineStr">
        <is>
          <t>CAN-26577</t>
        </is>
      </c>
      <c r="B13" t="n">
        <v>4</v>
      </c>
      <c r="C13" t="inlineStr">
        <is>
          <t>Mixed</t>
        </is>
      </c>
    </row>
    <row r="14">
      <c r="A14" t="inlineStr">
        <is>
          <t>CAN-26579</t>
        </is>
      </c>
      <c r="B14" t="n">
        <v>2</v>
      </c>
      <c r="C14" t="inlineStr">
        <is>
          <t>Mixed</t>
        </is>
      </c>
    </row>
    <row r="15">
      <c r="A15" t="inlineStr">
        <is>
          <t>CAN-26582</t>
        </is>
      </c>
      <c r="B15" t="n">
        <v>12</v>
      </c>
      <c r="C15" t="inlineStr">
        <is>
          <t>Mixed</t>
        </is>
      </c>
    </row>
    <row r="16">
      <c r="A16" t="inlineStr">
        <is>
          <t>CAN-26588</t>
        </is>
      </c>
      <c r="B16" t="n">
        <v>4</v>
      </c>
      <c r="C16" t="inlineStr">
        <is>
          <t>Positive</t>
        </is>
      </c>
    </row>
    <row r="17">
      <c r="A17" t="inlineStr">
        <is>
          <t>CAN-26589</t>
        </is>
      </c>
      <c r="B17" t="n">
        <v>4</v>
      </c>
      <c r="C17" t="inlineStr">
        <is>
          <t>Mixed</t>
        </is>
      </c>
    </row>
    <row r="18">
      <c r="A18" t="inlineStr">
        <is>
          <t>CAN-26591</t>
        </is>
      </c>
      <c r="B18" t="n">
        <v>1</v>
      </c>
      <c r="C18" t="inlineStr">
        <is>
          <t>Mixed</t>
        </is>
      </c>
    </row>
    <row r="19">
      <c r="A19" t="inlineStr">
        <is>
          <t>CAN-26594</t>
        </is>
      </c>
      <c r="B19" t="n">
        <v>2</v>
      </c>
      <c r="C19" t="inlineStr">
        <is>
          <t>Negative</t>
        </is>
      </c>
    </row>
    <row r="20">
      <c r="A20" t="inlineStr">
        <is>
          <t>CAN-26596</t>
        </is>
      </c>
      <c r="B20" t="n">
        <v>4</v>
      </c>
      <c r="C20" t="inlineStr">
        <is>
          <t>Positive</t>
        </is>
      </c>
    </row>
    <row r="21">
      <c r="A21" t="inlineStr">
        <is>
          <t>CAN-26598</t>
        </is>
      </c>
      <c r="B21" t="n">
        <v>4</v>
      </c>
      <c r="C21" t="inlineStr">
        <is>
          <t>Negative</t>
        </is>
      </c>
    </row>
    <row r="22">
      <c r="A22" t="inlineStr">
        <is>
          <t>CAN-26608</t>
        </is>
      </c>
      <c r="B22" t="n">
        <v>4</v>
      </c>
      <c r="C22" t="inlineStr">
        <is>
          <t>Positive</t>
        </is>
      </c>
    </row>
    <row r="23">
      <c r="A23" t="inlineStr">
        <is>
          <t>CAN-26609</t>
        </is>
      </c>
      <c r="B23" t="n">
        <v>4</v>
      </c>
      <c r="C23" t="inlineStr">
        <is>
          <t>Negative</t>
        </is>
      </c>
    </row>
    <row r="24">
      <c r="A24" t="inlineStr">
        <is>
          <t>CAN-26611</t>
        </is>
      </c>
      <c r="B24" t="n">
        <v>1</v>
      </c>
      <c r="C24" t="inlineStr">
        <is>
          <t>Positive</t>
        </is>
      </c>
    </row>
    <row r="25">
      <c r="A25" t="inlineStr">
        <is>
          <t>CAN-26618</t>
        </is>
      </c>
      <c r="B25" t="n">
        <v>12</v>
      </c>
      <c r="C25" t="inlineStr">
        <is>
          <t>Mixed</t>
        </is>
      </c>
    </row>
    <row r="26">
      <c r="A26" t="inlineStr">
        <is>
          <t>CAN-26621</t>
        </is>
      </c>
      <c r="B26" t="n">
        <v>4</v>
      </c>
      <c r="C26" t="inlineStr">
        <is>
          <t>Mixed</t>
        </is>
      </c>
    </row>
    <row r="27">
      <c r="A27" t="inlineStr">
        <is>
          <t>CAN-26622</t>
        </is>
      </c>
      <c r="B27" t="n">
        <v>8</v>
      </c>
      <c r="C27" t="inlineStr">
        <is>
          <t>Mixed</t>
        </is>
      </c>
    </row>
    <row r="28">
      <c r="A28" t="inlineStr">
        <is>
          <t>CAN-26624</t>
        </is>
      </c>
      <c r="B28" t="n">
        <v>8</v>
      </c>
      <c r="C28" t="inlineStr">
        <is>
          <t>Mixed</t>
        </is>
      </c>
    </row>
    <row r="29">
      <c r="A29" t="inlineStr">
        <is>
          <t>CAN-26627</t>
        </is>
      </c>
      <c r="B29" t="n">
        <v>4</v>
      </c>
      <c r="C29" t="inlineStr">
        <is>
          <t>Mixed</t>
        </is>
      </c>
    </row>
    <row r="30">
      <c r="A30" t="inlineStr">
        <is>
          <t>CAN-26628</t>
        </is>
      </c>
      <c r="B30" t="n">
        <v>4</v>
      </c>
      <c r="C30" t="inlineStr">
        <is>
          <t>Negative</t>
        </is>
      </c>
    </row>
    <row r="31">
      <c r="A31" t="inlineStr">
        <is>
          <t>CAN-26633</t>
        </is>
      </c>
      <c r="B31" t="n">
        <v>12</v>
      </c>
      <c r="C31" t="inlineStr">
        <is>
          <t>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6" t="inlineStr">
        <is>
          <t>Check</t>
        </is>
      </c>
      <c r="B1" s="6" t="inlineStr">
        <is>
          <t>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40" customWidth="1" min="4" max="4"/>
    <col width="40" customWidth="1" min="5" max="5"/>
    <col width="14" customWidth="1" min="6" max="6"/>
  </cols>
  <sheetData>
    <row r="1">
      <c r="A1" s="3" t="inlineStr">
        <is>
          <t>Step</t>
        </is>
      </c>
      <c r="B1" s="3" t="inlineStr">
        <is>
          <t>Where (Ask Gemini / Insert / Action / =AI / Gem)</t>
        </is>
      </c>
      <c r="C1" s="3" t="inlineStr">
        <is>
          <t>Prompt</t>
        </is>
      </c>
      <c r="D1" s="3" t="inlineStr">
        <is>
          <t>What Gemini did</t>
        </is>
      </c>
      <c r="E1" s="3" t="inlineStr">
        <is>
          <t>How I verified</t>
        </is>
      </c>
      <c r="F1" s="3" t="inlineStr">
        <is>
          <t>Decision</t>
        </is>
      </c>
    </row>
    <row r="2">
      <c r="A2" s="2" t="inlineStr">
        <is>
          <t>6 · A</t>
        </is>
      </c>
      <c r="B2" s="2" t="inlineStr">
        <is>
          <t>Ask</t>
        </is>
      </c>
      <c r="C2" s="2" t="inlineStr">
        <is>
          <t>Compare Profiles column G with Answer_Key column C. Which candidates don't match, and what in the Interview_Feedback text could have caused each difference?</t>
        </is>
      </c>
    </row>
    <row r="3">
      <c r="A3" s="2" t="inlineStr">
        <is>
          <t>8 · B</t>
        </is>
      </c>
      <c r="B3" s="2" t="inlineStr">
        <is>
          <t>Insert</t>
        </is>
      </c>
      <c r="C3" s="2" t="inlineStr">
        <is>
          <t>Group the Interview_Feedback on the Profiles tab into themes and count how many candidates fall into each theme. Show the result as a table with one example per theme.</t>
        </is>
      </c>
    </row>
    <row r="4">
      <c r="A4" s="2" t="inlineStr">
        <is>
          <t>8 · C</t>
        </is>
      </c>
      <c r="B4" s="2" t="inlineStr">
        <is>
          <t>Ask</t>
        </is>
      </c>
      <c r="C4" s="2" t="inlineStr">
        <is>
          <t>Do any of the summaries in column H mention personal characteristics or anything that should not be used in a hiring decision?</t>
        </is>
      </c>
    </row>
    <row r="5">
      <c r="A5" s="2" t="inlineStr">
        <is>
          <t>9 · D</t>
        </is>
      </c>
      <c r="B5" s="2" t="inlineStr">
        <is>
          <t>Ask</t>
        </is>
      </c>
      <c r="C5" s="2" t="inlineStr">
        <is>
          <t>List the prompts I sent you in this conversation. For each one, give a one-line summary of what you did, so I can copy it into the Prompt_Log tab.</t>
        </is>
      </c>
    </row>
    <row r="6">
      <c r="A6" s="2" t="inlineStr">
        <is>
          <t>Extra 1</t>
        </is>
      </c>
      <c r="B6" s="2" t="inlineStr">
        <is>
          <t>Any</t>
        </is>
      </c>
      <c r="C6" s="2">
        <f>AI("Does this candidate mention SQL? Answer Yes or No.", D2)</f>
        <v/>
      </c>
    </row>
    <row r="7">
      <c r="A7" s="2" t="inlineStr">
        <is>
          <t>Extra 2</t>
        </is>
      </c>
      <c r="B7" s="2" t="inlineStr">
        <is>
          <t>Any</t>
        </is>
      </c>
      <c r="C7" s="2">
        <f>AI("Write a polite two-sentence email inviting this candidate to a second interview.", B2:C2)</f>
        <v/>
      </c>
    </row>
    <row r="8">
      <c r="A8" s="2" t="inlineStr">
        <is>
          <t>Extra 3</t>
        </is>
      </c>
      <c r="B8" s="2" t="inlineStr">
        <is>
          <t>Any</t>
        </is>
      </c>
      <c r="C8" s="2">
        <f>AI("Classify the seniority of this candidate as Junior, Mid or Senior based on years of experience.", D2)</f>
        <v/>
      </c>
    </row>
    <row r="9">
      <c r="A9" s="2" t="inlineStr">
        <is>
          <t>Extra 4</t>
        </is>
      </c>
      <c r="B9" s="2" t="inlineStr">
        <is>
          <t>Any</t>
        </is>
      </c>
      <c r="C9" s="2" t="inlineStr">
        <is>
          <t>Which five candidates have the most positive feedback? Show their names and positions.</t>
        </is>
      </c>
    </row>
    <row r="10">
      <c r="A10" s="2" t="inlineStr">
        <is>
          <t>Extra 5</t>
        </is>
      </c>
      <c r="B10" s="2" t="inlineStr">
        <is>
          <t>Any</t>
        </is>
      </c>
      <c r="C10" s="2" t="inlineStr">
        <is>
          <t>Summarise the main concerns interviewers raised, with the number of candidates for each.</t>
        </is>
      </c>
    </row>
  </sheetData>
  <dataValidations count="1">
    <dataValidation sqref="F2:F60" showDropDown="0" showInputMessage="0" showErrorMessage="0" allowBlank="1" type="list">
      <formula1>"Keep,Revise,Undo"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2026-10-19T14:19:38Z</dcterms:created>
  <dcterms:modified xmlns:dcterms="http://purl.org/dc/terms/" xmlns:xsi="http://www.w3.org/2001/XMLSchema-instance" xsi:type="dcterms:W3CDTF">2026-10-19T14:19:38Z</dcterms:modified>
</cp:coreProperties>
</file>